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SM" sheetId="1" r:id="rId4"/>
    <sheet state="visible" name="NPV" sheetId="2" r:id="rId5"/>
    <sheet state="visible" name="ROI" sheetId="3" r:id="rId6"/>
    <sheet state="visible" name="Payback" sheetId="4" r:id="rId7"/>
  </sheets>
  <definedNames/>
  <calcPr/>
</workbook>
</file>

<file path=xl/sharedStrings.xml><?xml version="1.0" encoding="utf-8"?>
<sst xmlns="http://schemas.openxmlformats.org/spreadsheetml/2006/main" count="86" uniqueCount="66">
  <si>
    <t>Tiêu chí Đánh giá</t>
  </si>
  <si>
    <t>Trọng số</t>
  </si>
  <si>
    <t xml:space="preserve">Xây dựng hệ thống hỗ trợ đánh giá công việc nội bộ tại khoa CNTT </t>
  </si>
  <si>
    <t>Hệ thống quản lý hoạt động sinh viên Khoa CNTT</t>
  </si>
  <si>
    <t>Cổng thông tin học tập trực tuyến cho giảng viên và sinh viên</t>
  </si>
  <si>
    <t>Hệ thống quản lý thiết bị và cơ sở vật chất phòng máy</t>
  </si>
  <si>
    <t>Mô tả</t>
  </si>
  <si>
    <t>Tiêu chí đánh giá</t>
  </si>
  <si>
    <t>Đăng nhập và phân quyền người dùng</t>
  </si>
  <si>
    <t>Phân công và đánh giá công việc</t>
  </si>
  <si>
    <t>Nộp minh chứng và tệp liên quan</t>
  </si>
  <si>
    <t>Thống kê và báo cáo tổng hợp</t>
  </si>
  <si>
    <t>Quản lý kỳ đánh giá và tiêu chí</t>
  </si>
  <si>
    <t>Quản lý người dùng và vai trò</t>
  </si>
  <si>
    <t>1. Phù hợp với mục tiêu tổ chức</t>
  </si>
  <si>
    <t>Hệ thống có phù hợp với mục tiêu số hóa và quản lý chất lượng của Khoa/Trường không?</t>
  </si>
  <si>
    <t>Giao diện thân thiện, dễ sử dụng, dễ ghi nhớ</t>
  </si>
  <si>
    <t>2. Hỗ trợ người dùng/Mức độ dễ sử dụng</t>
  </si>
  <si>
    <t>Giao diện thân thiện (UI/UX), dễ dàng cho giảng viên/nhân viên nhập liệu, xem kết quả.</t>
  </si>
  <si>
    <t>Tốc độ truy cập và xử lý nhanh</t>
  </si>
  <si>
    <t>3. Tốc độ xử lý và Độ tin cậy</t>
  </si>
  <si>
    <t>Tốc độ tải/xử lý nhanh, dữ liệu được lưu trữ an toàn, ít lỗi.</t>
  </si>
  <si>
    <t>Hỗ trợ nhiều người dùng, đa ngôn ngữ</t>
  </si>
  <si>
    <t>4. Tính năng theo yêu cầu nghiệp vụ</t>
  </si>
  <si>
    <t>Có đáp ứng đủ các chức năng cốt lõi (nhập, tính điểm, báo cáo, tổng hợp) không?</t>
  </si>
  <si>
    <t>Nội dung phong phú, đa dạng, hấp dẫn</t>
  </si>
  <si>
    <t>5. Khả năng mở rộng &amp; Bảo trì</t>
  </si>
  <si>
    <t>Dễ dàng nâng cấp, thêm tiêu chí đánh giá mới trong tương lai.</t>
  </si>
  <si>
    <t>Chức năng ghi nhật ký hệ thống</t>
  </si>
  <si>
    <t>6. Chi phí phát triển và triển khai thấp</t>
  </si>
  <si>
    <t>Chi phí cho công cụ, hosting, hoặc nguồn lực cần thiết là thấp.</t>
  </si>
  <si>
    <t>Đa dạng về màu sắc, hình ảnh, âm thanh</t>
  </si>
  <si>
    <t>7. Thời gian hoàn thành dự án</t>
  </si>
  <si>
    <t>Khả năng hoàn thành và đưa vào sử dụng trong thời gian yêu cầu của Khoa.</t>
  </si>
  <si>
    <t>Tính linh hoạt và sáng tạo trong chức năng</t>
  </si>
  <si>
    <t>Tổng điểm Trọng số</t>
  </si>
  <si>
    <t>Tỉ lệ chiết khấu</t>
  </si>
  <si>
    <t>Chỉ số</t>
  </si>
  <si>
    <t>Năm 1</t>
  </si>
  <si>
    <t>Năm 2</t>
  </si>
  <si>
    <t>Năm 3</t>
  </si>
  <si>
    <t>Năm 4</t>
  </si>
  <si>
    <t>Năm 5</t>
  </si>
  <si>
    <t>TỔNG CỘNG</t>
  </si>
  <si>
    <t>Lợi nhuận (Benefits) 
(Giả định giá trị tiết kiệm)</t>
  </si>
  <si>
    <t>Chi phí (Costs) 
(Năm 1 gồm cả phí Dev + Vận hành)</t>
  </si>
  <si>
    <t>NPV(tỷ lệ chiết khấu; Phạm vi dòng tiền từ năm 1 đến năm n)+ ô chứa dòng tiền năm 0</t>
  </si>
  <si>
    <t>Dòng tiền (A-B)</t>
  </si>
  <si>
    <t>NPV (10%)</t>
  </si>
  <si>
    <t>Tỷ lệ chiết khấu</t>
  </si>
  <si>
    <t>Chi phí</t>
  </si>
  <si>
    <t>Hệ số chiết khấu (10%)</t>
  </si>
  <si>
    <t>Chi phí đã chiết khấu</t>
  </si>
  <si>
    <t>Lợi nhuận</t>
  </si>
  <si>
    <t>Lợi nhuận đã chiết khấu</t>
  </si>
  <si>
    <t>Lợi nhuận ròng (PV) (Lợi nhuận CK - Chi phí CK)</t>
  </si>
  <si>
    <t xml:space="preserve">NPV: </t>
  </si>
  <si>
    <t>Lợi nhuận tích lũy</t>
  </si>
  <si>
    <t>ROI</t>
  </si>
  <si>
    <t>PAY BACK IN YEAR 1</t>
  </si>
  <si>
    <t>Năm (Year)</t>
  </si>
  <si>
    <t>Chi phí đã CK (Discounted Costs)</t>
  </si>
  <si>
    <t>Lợi ích đã CK (Discounted Benefits)</t>
  </si>
  <si>
    <t>Chi phí tích lũy (Cum Costs)</t>
  </si>
  <si>
    <t>Lợi ích tích lũy (Cum Benefits)</t>
  </si>
  <si>
    <t>Năm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</si>
</sst>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&quot;₫&quot;"/>
    <numFmt numFmtId="165" formatCode="#,##0_);(#,##0)"/>
    <numFmt numFmtId="166" formatCode="#,##0_);[Red](#,##0)"/>
  </numFmts>
  <fonts count="7">
    <font>
      <sz val="10.0"/>
      <color rgb="FF000000"/>
      <name val="Arial"/>
      <scheme val="minor"/>
    </font>
    <font>
      <sz val="13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b/>
      <sz val="13.0"/>
      <color rgb="FF1F1F1F"/>
      <name val="Times New Roman"/>
    </font>
    <font>
      <sz val="13.0"/>
      <color rgb="FF1F1F1F"/>
      <name val="Times New Roman"/>
    </font>
    <font>
      <b/>
      <sz val="13.0"/>
      <color theme="1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9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2" numFmtId="9" xfId="0" applyAlignment="1" applyBorder="1" applyFont="1" applyNumberFormat="1">
      <alignment readingOrder="0" shrinkToFit="0" vertical="center" wrapText="1"/>
    </xf>
    <xf borderId="1" fillId="0" fontId="1" numFmtId="9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4" xfId="0" applyAlignment="1" applyFont="1" applyNumberForma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1" numFmtId="49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9" xfId="0" applyAlignment="1" applyFont="1" applyNumberForma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5" numFmtId="3" xfId="0" applyAlignment="1" applyFont="1" applyNumberForma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1" fillId="0" fontId="1" numFmtId="0" xfId="0" applyAlignment="1" applyBorder="1" applyFont="1">
      <alignment vertical="bottom"/>
    </xf>
    <xf borderId="1" fillId="0" fontId="1" numFmtId="9" xfId="0" applyAlignment="1" applyBorder="1" applyFont="1" applyNumberForma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1" fillId="0" fontId="5" numFmtId="0" xfId="0" applyAlignment="1" applyBorder="1" applyFont="1">
      <alignment readingOrder="0"/>
    </xf>
    <xf borderId="1" fillId="0" fontId="1" numFmtId="0" xfId="0" applyBorder="1" applyFont="1"/>
    <xf borderId="1" fillId="0" fontId="5" numFmtId="3" xfId="0" applyAlignment="1" applyBorder="1" applyFont="1" applyNumberFormat="1">
      <alignment readingOrder="0"/>
    </xf>
    <xf borderId="1" fillId="0" fontId="5" numFmtId="0" xfId="0" applyBorder="1" applyFont="1"/>
    <xf borderId="1" fillId="0" fontId="5" numFmtId="165" xfId="0" applyBorder="1" applyFont="1" applyNumberFormat="1"/>
    <xf borderId="1" fillId="0" fontId="5" numFmtId="166" xfId="0" applyAlignment="1" applyBorder="1" applyFont="1" applyNumberFormat="1">
      <alignment readingOrder="0"/>
    </xf>
    <xf borderId="1" fillId="0" fontId="1" numFmtId="166" xfId="0" applyBorder="1" applyFont="1" applyNumberFormat="1"/>
    <xf borderId="0" fillId="0" fontId="1" numFmtId="166" xfId="0" applyFont="1" applyNumberFormat="1"/>
    <xf borderId="1" fillId="0" fontId="4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4" numFmtId="10" xfId="0" applyAlignment="1" applyBorder="1" applyFont="1" applyNumberFormat="1">
      <alignment readingOrder="0"/>
    </xf>
    <xf borderId="0" fillId="0" fontId="6" numFmtId="0" xfId="0" applyAlignment="1" applyFont="1">
      <alignment horizontal="center" vertical="bottom"/>
    </xf>
    <xf borderId="0" fillId="0" fontId="5" numFmtId="165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WSM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WSM-style 2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NPV-style">
      <tableStyleElement dxfId="2" type="headerRow"/>
      <tableStyleElement dxfId="3" type="firstRowStripe"/>
      <tableStyleElement dxfId="4" type="secondRowStripe"/>
      <tableStyleElement dxfId="5" size="0" type="wholeTable"/>
    </tableStyle>
    <tableStyle count="4" pivot="0" name="Payback-style">
      <tableStyleElement dxfId="2" type="headerRow"/>
      <tableStyleElement dxfId="3" type="firstRowStripe"/>
      <tableStyleElement dxfId="4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Arial"/>
              </a:defRPr>
            </a:pPr>
            <a:r>
              <a:rPr b="1" sz="1800">
                <a:solidFill>
                  <a:srgbClr val="000000"/>
                </a:solidFill>
                <a:latin typeface="Arial"/>
              </a:rPr>
              <a:t>Ma trận trọng số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WSM!$A$15:$D$15</c:f>
            </c:strRef>
          </c:cat>
          <c:val>
            <c:numRef>
              <c:f>WSM!$A$16:$D$16</c:f>
              <c:numCache/>
            </c:numRef>
          </c:val>
        </c:ser>
        <c:axId val="2046268432"/>
        <c:axId val="1595722300"/>
      </c:barChart>
      <c:catAx>
        <c:axId val="204626843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722300"/>
      </c:catAx>
      <c:valAx>
        <c:axId val="15957223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26843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Arial"/>
              </a:defRPr>
            </a:pPr>
            <a:r>
              <a:rPr b="1" sz="1800">
                <a:solidFill>
                  <a:srgbClr val="000000"/>
                </a:solidFill>
                <a:latin typeface="Arial"/>
              </a:rPr>
              <a:t>Ma trận trọng số theo chức năng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00FFFF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WSM!$J$15:$O$15</c:f>
            </c:strRef>
          </c:cat>
          <c:val>
            <c:numRef>
              <c:f>WSM!$J$16:$O$16</c:f>
              <c:numCache/>
            </c:numRef>
          </c:val>
        </c:ser>
        <c:axId val="1813365458"/>
        <c:axId val="39422796"/>
      </c:barChart>
      <c:catAx>
        <c:axId val="181336545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22796"/>
      </c:catAx>
      <c:valAx>
        <c:axId val="394227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336545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300">
                <a:solidFill>
                  <a:srgbClr val="000000"/>
                </a:solidFill>
                <a:latin typeface="+mn-lt"/>
              </a:defRPr>
            </a:pPr>
            <a:r>
              <a:rPr b="1" sz="1300">
                <a:solidFill>
                  <a:srgbClr val="000000"/>
                </a:solidFill>
                <a:latin typeface="+mn-lt"/>
              </a:rPr>
              <a:t>PAYPACK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Payback!$D$1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Payback!$A$2:$A$7</c:f>
            </c:strRef>
          </c:cat>
          <c:val>
            <c:numRef>
              <c:f>Payback!$D$2:$D$7</c:f>
              <c:numCache/>
            </c:numRef>
          </c:val>
          <c:smooth val="0"/>
        </c:ser>
        <c:ser>
          <c:idx val="1"/>
          <c:order val="1"/>
          <c:tx>
            <c:strRef>
              <c:f>Payback!$E$1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Payback!$A$2:$A$7</c:f>
            </c:strRef>
          </c:cat>
          <c:val>
            <c:numRef>
              <c:f>Payback!$E$2:$E$7</c:f>
              <c:numCache/>
            </c:numRef>
          </c:val>
          <c:smooth val="0"/>
        </c:ser>
        <c:axId val="69794930"/>
        <c:axId val="2047171611"/>
      </c:lineChart>
      <c:catAx>
        <c:axId val="697949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Năm (Year)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171611"/>
      </c:catAx>
      <c:valAx>
        <c:axId val="2047171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949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16</xdr:row>
      <xdr:rowOff>161925</xdr:rowOff>
    </xdr:from>
    <xdr:ext cx="5715000" cy="35337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0</xdr:colOff>
      <xdr:row>16</xdr:row>
      <xdr:rowOff>161925</xdr:rowOff>
    </xdr:from>
    <xdr:ext cx="5715000" cy="353377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1447800</xdr:colOff>
      <xdr:row>8</xdr:row>
      <xdr:rowOff>9525</xdr:rowOff>
    </xdr:from>
    <xdr:ext cx="7343775" cy="4543425"/>
    <xdr:graphicFrame>
      <xdr:nvGraphicFramePr>
        <xdr:cNvPr id="3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2:G10" displayName="Ma_trận_trọng_số_" name="Ma_trận_trọng_số_" id="1">
  <tableColumns count="7">
    <tableColumn name="Tiêu chí Đánh giá" id="1"/>
    <tableColumn name="Trọng số" id="2"/>
    <tableColumn name="Xây dựng hệ thống hỗ trợ đánh giá công việc nội bộ tại khoa CNTT " id="3"/>
    <tableColumn name="Hệ thống quản lý hoạt động sinh viên Khoa CNTT" id="4"/>
    <tableColumn name="Cổng thông tin học tập trực tuyến cho giảng viên và sinh viên" id="5"/>
    <tableColumn name="Hệ thống quản lý thiết bị và cơ sở vật chất phòng máy" id="6"/>
    <tableColumn name="Mô tả" id="7"/>
  </tableColumns>
  <tableStyleInfo name="WSM-style" showColumnStripes="0" showFirstColumn="1" showLastColumn="1" showRowStripes="1"/>
</table>
</file>

<file path=xl/tables/table2.xml><?xml version="1.0" encoding="utf-8"?>
<table xmlns="http://schemas.openxmlformats.org/spreadsheetml/2006/main" ref="J2:Q10" displayName="Ma_trận_trọng_số_theo_chức_năng" name="Ma_trận_trọng_số_theo_chức_năng" id="2">
  <tableColumns count="8">
    <tableColumn name="Tiêu chí đánh giá" id="1"/>
    <tableColumn name="Trọng số" id="2"/>
    <tableColumn name="Đăng nhập và phân quyền người dùng" id="3"/>
    <tableColumn name="Phân công và đánh giá công việc" id="4"/>
    <tableColumn name="Nộp minh chứng và tệp liên quan" id="5"/>
    <tableColumn name="Thống kê và báo cáo tổng hợp" id="6"/>
    <tableColumn name="Quản lý kỳ đánh giá và tiêu chí" id="7"/>
    <tableColumn name="Quản lý người dùng và vai trò" id="8"/>
  </tableColumns>
  <tableStyleInfo name="WSM-style 2" showColumnStripes="0" showFirstColumn="1" showLastColumn="1" showRowStripes="1"/>
</table>
</file>

<file path=xl/tables/table3.xml><?xml version="1.0" encoding="utf-8"?>
<table xmlns="http://schemas.openxmlformats.org/spreadsheetml/2006/main" ref="E2:K7" displayName="Bảng_1" name="Bảng_1" id="3">
  <tableColumns count="7">
    <tableColumn name="Chỉ số" id="1"/>
    <tableColumn name="Năm 1" id="2"/>
    <tableColumn name="Năm 2" id="3"/>
    <tableColumn name="Năm 3" id="4"/>
    <tableColumn name="Năm 4" id="5"/>
    <tableColumn name="Năm 5" id="6"/>
    <tableColumn name="TỔNG CỘNG" id="7"/>
  </tableColumns>
  <tableStyleInfo name="NPV-style" showColumnStripes="0" showFirstColumn="1" showLastColumn="1" showRowStripes="1"/>
</table>
</file>

<file path=xl/tables/table4.xml><?xml version="1.0" encoding="utf-8"?>
<table xmlns="http://schemas.openxmlformats.org/spreadsheetml/2006/main" ref="A1:E7" displayName="Bảng_2" name="Bảng_2" id="4">
  <tableColumns count="5">
    <tableColumn name="Năm (Year)" id="1"/>
    <tableColumn name="Chi phí đã CK (Discounted Costs)" id="2"/>
    <tableColumn name="Lợi ích đã CK (Discounted Benefits)" id="3"/>
    <tableColumn name="Chi phí tích lũy (Cum Costs)" id="4"/>
    <tableColumn name="Lợi ích tích lũy (Cum Benefits)" id="5"/>
  </tableColumns>
  <tableStyleInfo name="Payba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13"/>
    <col customWidth="1" min="2" max="2" width="14.88"/>
    <col customWidth="1" min="3" max="3" width="28.13"/>
    <col customWidth="1" min="4" max="4" width="22.38"/>
    <col customWidth="1" min="5" max="5" width="20.75"/>
    <col customWidth="1" min="6" max="6" width="20.13"/>
    <col customWidth="1" min="7" max="7" width="29.25"/>
    <col customWidth="1" min="10" max="10" width="40.88"/>
    <col customWidth="1" min="11" max="11" width="14.63"/>
    <col customWidth="1" min="12" max="12" width="23.75"/>
    <col customWidth="1" min="13" max="13" width="26.25"/>
    <col customWidth="1" min="14" max="14" width="23.63"/>
    <col customWidth="1" min="15" max="15" width="22.88"/>
    <col customWidth="1" min="16" max="16" width="21.13"/>
    <col customWidth="1" min="17" max="17" width="20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1"/>
      <c r="I2" s="1"/>
      <c r="J2" s="2" t="s">
        <v>7</v>
      </c>
      <c r="K2" s="2" t="s">
        <v>1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1"/>
      <c r="S2" s="1"/>
      <c r="T2" s="1"/>
      <c r="U2" s="1"/>
      <c r="V2" s="1"/>
      <c r="W2" s="1"/>
      <c r="X2" s="1"/>
      <c r="Y2" s="1"/>
      <c r="Z2" s="1"/>
    </row>
    <row r="3" ht="22.5" customHeight="1">
      <c r="A3" s="4" t="s">
        <v>14</v>
      </c>
      <c r="B3" s="5">
        <v>0.2</v>
      </c>
      <c r="C3" s="6">
        <f>B3*90</f>
        <v>18</v>
      </c>
      <c r="D3" s="6">
        <f>B3*80</f>
        <v>16</v>
      </c>
      <c r="E3" s="6">
        <f>B3*60</f>
        <v>12</v>
      </c>
      <c r="F3" s="6">
        <f>B3*90</f>
        <v>18</v>
      </c>
      <c r="G3" s="4" t="s">
        <v>15</v>
      </c>
      <c r="H3" s="1"/>
      <c r="I3" s="1"/>
      <c r="J3" s="7" t="s">
        <v>16</v>
      </c>
      <c r="K3" s="8">
        <v>0.25</v>
      </c>
      <c r="L3" s="7">
        <v>80.0</v>
      </c>
      <c r="M3" s="7">
        <v>85.0</v>
      </c>
      <c r="N3" s="7">
        <v>80.0</v>
      </c>
      <c r="O3" s="7">
        <v>75.0</v>
      </c>
      <c r="P3" s="7">
        <v>70.0</v>
      </c>
      <c r="Q3" s="7">
        <v>70.0</v>
      </c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4" t="s">
        <v>17</v>
      </c>
      <c r="B4" s="5">
        <v>0.25</v>
      </c>
      <c r="C4" s="6">
        <f t="shared" ref="C4:C5" si="1">B4*85</f>
        <v>21.25</v>
      </c>
      <c r="D4" s="6">
        <f>B4*75</f>
        <v>18.75</v>
      </c>
      <c r="E4" s="6">
        <f>B4*70</f>
        <v>17.5</v>
      </c>
      <c r="F4" s="6">
        <f>B4*80</f>
        <v>20</v>
      </c>
      <c r="G4" s="4" t="s">
        <v>18</v>
      </c>
      <c r="H4" s="1"/>
      <c r="I4" s="1"/>
      <c r="J4" s="7" t="s">
        <v>19</v>
      </c>
      <c r="K4" s="8">
        <v>0.15</v>
      </c>
      <c r="L4" s="7">
        <v>90.0</v>
      </c>
      <c r="M4" s="7">
        <v>85.0</v>
      </c>
      <c r="N4" s="7">
        <v>70.0</v>
      </c>
      <c r="O4" s="7">
        <v>80.0</v>
      </c>
      <c r="P4" s="7">
        <v>75.0</v>
      </c>
      <c r="Q4" s="7">
        <v>80.0</v>
      </c>
      <c r="R4" s="1"/>
      <c r="S4" s="1"/>
      <c r="T4" s="1"/>
      <c r="U4" s="1"/>
      <c r="V4" s="1"/>
      <c r="W4" s="1"/>
      <c r="X4" s="1"/>
      <c r="Y4" s="1"/>
      <c r="Z4" s="1"/>
    </row>
    <row r="5" ht="22.5" customHeight="1">
      <c r="A5" s="4" t="s">
        <v>20</v>
      </c>
      <c r="B5" s="5">
        <v>0.1</v>
      </c>
      <c r="C5" s="6">
        <f t="shared" si="1"/>
        <v>8.5</v>
      </c>
      <c r="D5" s="6">
        <f>B5*70</f>
        <v>7</v>
      </c>
      <c r="E5" s="6">
        <f>B5*75</f>
        <v>7.5</v>
      </c>
      <c r="F5" s="6">
        <f>B5*70</f>
        <v>7</v>
      </c>
      <c r="G5" s="4" t="s">
        <v>21</v>
      </c>
      <c r="H5" s="1"/>
      <c r="I5" s="1"/>
      <c r="J5" s="7" t="s">
        <v>22</v>
      </c>
      <c r="K5" s="8">
        <v>0.1</v>
      </c>
      <c r="L5" s="7">
        <v>70.0</v>
      </c>
      <c r="M5" s="7">
        <v>80.0</v>
      </c>
      <c r="N5" s="7">
        <v>75.0</v>
      </c>
      <c r="O5" s="7">
        <v>70.0</v>
      </c>
      <c r="P5" s="7">
        <v>65.0</v>
      </c>
      <c r="Q5" s="7">
        <v>85.0</v>
      </c>
      <c r="R5" s="1"/>
      <c r="S5" s="1"/>
      <c r="T5" s="1"/>
      <c r="U5" s="1"/>
      <c r="V5" s="1"/>
      <c r="W5" s="1"/>
      <c r="X5" s="1"/>
      <c r="Y5" s="1"/>
      <c r="Z5" s="1"/>
    </row>
    <row r="6" ht="22.5" customHeight="1">
      <c r="A6" s="4" t="s">
        <v>23</v>
      </c>
      <c r="B6" s="5">
        <v>0.2</v>
      </c>
      <c r="C6" s="6">
        <f>B6*80</f>
        <v>16</v>
      </c>
      <c r="D6" s="6">
        <f>B6*85</f>
        <v>17</v>
      </c>
      <c r="E6" s="6">
        <f>B6*90</f>
        <v>18</v>
      </c>
      <c r="F6" s="6">
        <f>B6*80</f>
        <v>16</v>
      </c>
      <c r="G6" s="4" t="s">
        <v>24</v>
      </c>
      <c r="H6" s="1"/>
      <c r="I6" s="1"/>
      <c r="J6" s="7" t="s">
        <v>25</v>
      </c>
      <c r="K6" s="9">
        <v>0.15</v>
      </c>
      <c r="L6" s="7">
        <v>60.0</v>
      </c>
      <c r="M6" s="7">
        <v>85.0</v>
      </c>
      <c r="N6" s="7">
        <v>80.0</v>
      </c>
      <c r="O6" s="7">
        <v>90.0</v>
      </c>
      <c r="P6" s="7">
        <v>70.0</v>
      </c>
      <c r="Q6" s="7">
        <v>65.0</v>
      </c>
      <c r="R6" s="1"/>
      <c r="S6" s="1"/>
      <c r="T6" s="1"/>
      <c r="U6" s="1"/>
      <c r="V6" s="1"/>
      <c r="W6" s="1"/>
      <c r="X6" s="1"/>
      <c r="Y6" s="1"/>
      <c r="Z6" s="1"/>
    </row>
    <row r="7" ht="22.5" customHeight="1">
      <c r="A7" s="4" t="s">
        <v>26</v>
      </c>
      <c r="B7" s="5">
        <v>0.1</v>
      </c>
      <c r="C7" s="6">
        <f>B7*70</f>
        <v>7</v>
      </c>
      <c r="D7" s="6">
        <f>B7*65</f>
        <v>6.5</v>
      </c>
      <c r="E7" s="6">
        <f>B7*95</f>
        <v>9.5</v>
      </c>
      <c r="F7" s="6">
        <f>B7*65</f>
        <v>6.5</v>
      </c>
      <c r="G7" s="4" t="s">
        <v>27</v>
      </c>
      <c r="H7" s="1"/>
      <c r="I7" s="1"/>
      <c r="J7" s="7" t="s">
        <v>28</v>
      </c>
      <c r="K7" s="9">
        <v>0.05</v>
      </c>
      <c r="L7" s="7">
        <v>90.0</v>
      </c>
      <c r="M7" s="7">
        <v>80.0</v>
      </c>
      <c r="N7" s="7">
        <v>85.0</v>
      </c>
      <c r="O7" s="7">
        <v>70.0</v>
      </c>
      <c r="P7" s="7">
        <v>75.0</v>
      </c>
      <c r="Q7" s="7">
        <v>90.0</v>
      </c>
      <c r="R7" s="1"/>
      <c r="S7" s="1"/>
      <c r="T7" s="1"/>
      <c r="U7" s="1"/>
      <c r="V7" s="1"/>
      <c r="W7" s="1"/>
      <c r="X7" s="1"/>
      <c r="Y7" s="1"/>
      <c r="Z7" s="1"/>
    </row>
    <row r="8" ht="22.5" customHeight="1">
      <c r="A8" s="4" t="s">
        <v>29</v>
      </c>
      <c r="B8" s="5">
        <v>0.1</v>
      </c>
      <c r="C8" s="6">
        <f>B8*95</f>
        <v>9.5</v>
      </c>
      <c r="D8" s="6">
        <f>B8*90</f>
        <v>9</v>
      </c>
      <c r="E8" s="6">
        <f>B8*60</f>
        <v>6</v>
      </c>
      <c r="F8" s="6">
        <f>B8*90</f>
        <v>9</v>
      </c>
      <c r="G8" s="4" t="s">
        <v>30</v>
      </c>
      <c r="H8" s="1"/>
      <c r="I8" s="1"/>
      <c r="J8" s="7" t="s">
        <v>31</v>
      </c>
      <c r="K8" s="9">
        <v>0.2</v>
      </c>
      <c r="L8" s="7">
        <v>60.0</v>
      </c>
      <c r="M8" s="7">
        <v>75.0</v>
      </c>
      <c r="N8" s="7">
        <v>70.0</v>
      </c>
      <c r="O8" s="7">
        <v>80.0</v>
      </c>
      <c r="P8" s="7">
        <v>65.0</v>
      </c>
      <c r="Q8" s="7">
        <v>60.0</v>
      </c>
      <c r="R8" s="1"/>
      <c r="S8" s="1"/>
      <c r="T8" s="1"/>
      <c r="U8" s="1"/>
      <c r="V8" s="1"/>
      <c r="W8" s="1"/>
      <c r="X8" s="1"/>
      <c r="Y8" s="1"/>
      <c r="Z8" s="1"/>
    </row>
    <row r="9" ht="22.5" customHeight="1">
      <c r="A9" s="4" t="s">
        <v>32</v>
      </c>
      <c r="B9" s="5">
        <v>0.05</v>
      </c>
      <c r="C9" s="6">
        <f>B9*75</f>
        <v>3.75</v>
      </c>
      <c r="D9" s="6">
        <f>B9*70</f>
        <v>3.5</v>
      </c>
      <c r="E9" s="6">
        <f>B9*70</f>
        <v>3.5</v>
      </c>
      <c r="F9" s="6">
        <f>B9*95</f>
        <v>4.75</v>
      </c>
      <c r="G9" s="4" t="s">
        <v>33</v>
      </c>
      <c r="H9" s="1"/>
      <c r="I9" s="1"/>
      <c r="J9" s="7" t="s">
        <v>34</v>
      </c>
      <c r="K9" s="9">
        <v>0.1</v>
      </c>
      <c r="L9" s="7">
        <v>60.0</v>
      </c>
      <c r="M9" s="7">
        <v>85.0</v>
      </c>
      <c r="N9" s="7">
        <v>70.0</v>
      </c>
      <c r="O9" s="7">
        <v>80.0</v>
      </c>
      <c r="P9" s="7">
        <v>75.0</v>
      </c>
      <c r="Q9" s="7">
        <v>70.0</v>
      </c>
      <c r="R9" s="1"/>
      <c r="S9" s="1"/>
      <c r="T9" s="1"/>
      <c r="U9" s="1"/>
      <c r="V9" s="1"/>
      <c r="W9" s="1"/>
      <c r="X9" s="1"/>
      <c r="Y9" s="1"/>
      <c r="Z9" s="1"/>
    </row>
    <row r="10" ht="22.5" customHeight="1">
      <c r="A10" s="4" t="s">
        <v>35</v>
      </c>
      <c r="B10" s="10">
        <f>SUM(B3:B9)*100</f>
        <v>100</v>
      </c>
      <c r="C10" s="11">
        <f t="shared" ref="C10:F10" si="2">SUM(C3:C9)</f>
        <v>84</v>
      </c>
      <c r="D10" s="11">
        <f t="shared" si="2"/>
        <v>77.75</v>
      </c>
      <c r="E10" s="11">
        <f t="shared" si="2"/>
        <v>74</v>
      </c>
      <c r="F10" s="11">
        <f t="shared" si="2"/>
        <v>81.25</v>
      </c>
      <c r="G10" s="10"/>
      <c r="H10" s="1"/>
      <c r="I10" s="1"/>
      <c r="J10" s="7" t="s">
        <v>35</v>
      </c>
      <c r="K10" s="9">
        <f>SUM(K3:K9)</f>
        <v>1</v>
      </c>
      <c r="L10" s="12">
        <f>SUMPRODUCT(K3:K9,L3:L9)</f>
        <v>72</v>
      </c>
      <c r="M10" s="12">
        <f>SUMPRODUCT(K3:K9,M3:M9)</f>
        <v>82.25</v>
      </c>
      <c r="N10" s="12">
        <f>SUMPRODUCT(K3:K9,N3:N9)</f>
        <v>75.25</v>
      </c>
      <c r="O10" s="12">
        <f>SUMPRODUCT(K3:K9,O3:O9)</f>
        <v>78.75</v>
      </c>
      <c r="P10" s="12">
        <f>SUMPRODUCT(K3:K9,P3:P9)</f>
        <v>70</v>
      </c>
      <c r="Q10" s="12">
        <f>SUMPRODUCT(K3:K9,Q3:Q9)</f>
        <v>71.25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3"/>
      <c r="K11" s="13"/>
      <c r="L11" s="13"/>
      <c r="M11" s="13"/>
      <c r="N11" s="13"/>
      <c r="O11" s="13"/>
      <c r="P11" s="13"/>
      <c r="Q11" s="13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4" t="s">
        <v>2</v>
      </c>
      <c r="B15" s="14" t="s">
        <v>3</v>
      </c>
      <c r="C15" s="14" t="s">
        <v>4</v>
      </c>
      <c r="D15" s="14" t="s">
        <v>5</v>
      </c>
      <c r="E15" s="1"/>
      <c r="F15" s="1"/>
      <c r="G15" s="1"/>
      <c r="H15" s="1"/>
      <c r="I15" s="1"/>
      <c r="J15" s="15" t="s">
        <v>8</v>
      </c>
      <c r="K15" s="15" t="s">
        <v>9</v>
      </c>
      <c r="L15" s="15" t="s">
        <v>10</v>
      </c>
      <c r="M15" s="15" t="s">
        <v>11</v>
      </c>
      <c r="N15" s="15" t="s">
        <v>12</v>
      </c>
      <c r="O15" s="15" t="s">
        <v>13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5">
        <v>84.0</v>
      </c>
      <c r="B16" s="15">
        <v>77.75</v>
      </c>
      <c r="C16" s="15">
        <v>74.0</v>
      </c>
      <c r="D16" s="15">
        <v>81.25</v>
      </c>
      <c r="E16" s="13"/>
      <c r="F16" s="13"/>
      <c r="G16" s="13"/>
      <c r="H16" s="13"/>
      <c r="I16" s="13"/>
      <c r="J16" s="15">
        <v>72.0</v>
      </c>
      <c r="K16" s="15">
        <v>82.25</v>
      </c>
      <c r="L16" s="15">
        <v>75.25</v>
      </c>
      <c r="M16" s="15">
        <v>78.75</v>
      </c>
      <c r="N16" s="15">
        <v>70.0</v>
      </c>
      <c r="O16" s="15">
        <v>71.25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3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3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3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3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3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3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</sheetData>
  <conditionalFormatting sqref="B10:F10">
    <cfRule type="notContainsBlanks" dxfId="0" priority="1">
      <formula>LEN(TRIM(B10))&gt;0</formula>
    </cfRule>
  </conditionalFormatting>
  <dataValidations>
    <dataValidation type="custom" allowBlank="1" showDropDown="1" sqref="C3:C10">
      <formula1>AND(ISNUMBER(C3),(NOT(OR(NOT(ISERROR(DATEVALUE(C3))), AND(ISNUMBER(C3), LEFT(CELL("format", C3))="D")))))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88"/>
    <col customWidth="1" min="5" max="5" width="34.63"/>
    <col customWidth="1" min="6" max="6" width="13.13"/>
    <col customWidth="1" min="11" max="11" width="15.25"/>
  </cols>
  <sheetData>
    <row r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ht="22.5" customHeight="1">
      <c r="A2" s="16"/>
      <c r="B2" s="17" t="s">
        <v>36</v>
      </c>
      <c r="C2" s="16"/>
      <c r="D2" s="16"/>
      <c r="E2" s="18" t="s">
        <v>37</v>
      </c>
      <c r="F2" s="18" t="s">
        <v>38</v>
      </c>
      <c r="G2" s="18" t="s">
        <v>39</v>
      </c>
      <c r="H2" s="18" t="s">
        <v>40</v>
      </c>
      <c r="I2" s="18" t="s">
        <v>41</v>
      </c>
      <c r="J2" s="18" t="s">
        <v>42</v>
      </c>
      <c r="K2" s="18" t="s">
        <v>43</v>
      </c>
      <c r="L2" s="16"/>
      <c r="M2" s="16"/>
      <c r="N2" s="16"/>
      <c r="O2" s="16"/>
      <c r="P2" s="16"/>
      <c r="Q2" s="16"/>
      <c r="R2" s="16"/>
      <c r="S2" s="16"/>
    </row>
    <row r="3" ht="22.5" customHeight="1">
      <c r="A3" s="16"/>
      <c r="B3" s="19">
        <v>0.1</v>
      </c>
      <c r="C3" s="16"/>
      <c r="D3" s="16"/>
      <c r="E3" s="20" t="s">
        <v>44</v>
      </c>
      <c r="F3" s="21">
        <v>4.0E7</v>
      </c>
      <c r="G3" s="21">
        <v>4.5E7</v>
      </c>
      <c r="H3" s="21">
        <v>5.0E7</v>
      </c>
      <c r="I3" s="21">
        <v>5.5E7</v>
      </c>
      <c r="J3" s="21">
        <v>6.0E7</v>
      </c>
      <c r="K3" s="21">
        <f t="shared" ref="K3:K6" si="1">SUM(F3:J3)</f>
        <v>250000000</v>
      </c>
      <c r="L3" s="16"/>
      <c r="M3" s="16"/>
      <c r="N3" s="16"/>
      <c r="O3" s="16"/>
      <c r="P3" s="16"/>
      <c r="Q3" s="16"/>
      <c r="R3" s="16"/>
      <c r="S3" s="16"/>
    </row>
    <row r="4" ht="22.5" customHeight="1">
      <c r="A4" s="16"/>
      <c r="B4" s="16"/>
      <c r="C4" s="16"/>
      <c r="D4" s="16"/>
      <c r="E4" s="20" t="s">
        <v>45</v>
      </c>
      <c r="F4" s="21">
        <v>3.02E7</v>
      </c>
      <c r="G4" s="21">
        <v>3000000.0</v>
      </c>
      <c r="H4" s="21">
        <v>3500000.0</v>
      </c>
      <c r="I4" s="21">
        <v>4000000.0</v>
      </c>
      <c r="J4" s="21">
        <v>4500000.0</v>
      </c>
      <c r="K4" s="21">
        <f t="shared" si="1"/>
        <v>45200000</v>
      </c>
      <c r="L4" s="16"/>
      <c r="M4" s="16"/>
      <c r="N4" s="16"/>
      <c r="O4" s="16"/>
      <c r="P4" s="16"/>
      <c r="Q4" s="16"/>
      <c r="R4" s="16"/>
      <c r="S4" s="16"/>
    </row>
    <row r="5" ht="22.5" hidden="1" customHeight="1">
      <c r="A5" s="16"/>
      <c r="B5" s="15" t="s">
        <v>46</v>
      </c>
      <c r="C5" s="16"/>
      <c r="D5" s="16"/>
      <c r="E5" s="20"/>
      <c r="F5" s="21"/>
      <c r="G5" s="21"/>
      <c r="H5" s="21"/>
      <c r="I5" s="21"/>
      <c r="J5" s="21"/>
      <c r="K5" s="21">
        <f t="shared" si="1"/>
        <v>0</v>
      </c>
      <c r="L5" s="16"/>
      <c r="M5" s="16"/>
      <c r="N5" s="16"/>
      <c r="O5" s="16"/>
      <c r="P5" s="16"/>
      <c r="Q5" s="16"/>
      <c r="R5" s="16"/>
      <c r="S5" s="16"/>
    </row>
    <row r="6" ht="22.5" customHeight="1">
      <c r="A6" s="16"/>
      <c r="B6" s="16"/>
      <c r="C6" s="16"/>
      <c r="D6" s="16"/>
      <c r="E6" s="20" t="s">
        <v>47</v>
      </c>
      <c r="F6" s="21">
        <f t="shared" ref="F6:J6" si="2">F3-F4</f>
        <v>9800000</v>
      </c>
      <c r="G6" s="21">
        <f t="shared" si="2"/>
        <v>42000000</v>
      </c>
      <c r="H6" s="21">
        <f t="shared" si="2"/>
        <v>46500000</v>
      </c>
      <c r="I6" s="21">
        <f t="shared" si="2"/>
        <v>51000000</v>
      </c>
      <c r="J6" s="21">
        <f t="shared" si="2"/>
        <v>55500000</v>
      </c>
      <c r="K6" s="21">
        <f t="shared" si="1"/>
        <v>204800000</v>
      </c>
      <c r="L6" s="16"/>
      <c r="M6" s="16"/>
      <c r="N6" s="16"/>
      <c r="O6" s="16"/>
      <c r="P6" s="16"/>
      <c r="Q6" s="16"/>
      <c r="R6" s="16"/>
      <c r="S6" s="16"/>
    </row>
    <row r="7" ht="22.5" customHeight="1">
      <c r="A7" s="16"/>
      <c r="B7" s="16"/>
      <c r="C7" s="16"/>
      <c r="D7" s="16"/>
      <c r="E7" s="20" t="s">
        <v>48</v>
      </c>
      <c r="F7" s="22">
        <f t="array" ref="F7">NPV(B3,F6:J6)</f>
        <v>147850792.6</v>
      </c>
      <c r="G7" s="23"/>
      <c r="H7" s="23"/>
      <c r="I7" s="23"/>
      <c r="J7" s="23"/>
      <c r="K7" s="23"/>
      <c r="L7" s="16"/>
      <c r="M7" s="16"/>
      <c r="N7" s="16"/>
      <c r="O7" s="16"/>
      <c r="P7" s="16"/>
      <c r="Q7" s="16"/>
      <c r="R7" s="16"/>
      <c r="S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hidden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hidden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idden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4" max="4" width="13.5"/>
    <col customWidth="1" min="5" max="5" width="16.63"/>
    <col customWidth="1" min="6" max="7" width="13.5"/>
  </cols>
  <sheetData>
    <row r="1">
      <c r="A1" s="24" t="s">
        <v>49</v>
      </c>
      <c r="B1" s="25"/>
      <c r="C1" s="25">
        <v>0.1</v>
      </c>
      <c r="D1" s="26"/>
      <c r="E1" s="26"/>
      <c r="F1" s="26"/>
      <c r="G1" s="26"/>
      <c r="H1" s="26"/>
      <c r="I1" s="27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28"/>
      <c r="B2" s="29"/>
      <c r="C2" s="29"/>
      <c r="D2" s="29"/>
      <c r="E2" s="29"/>
      <c r="F2" s="29"/>
      <c r="G2" s="29"/>
      <c r="H2" s="29"/>
      <c r="I2" s="30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31" t="s">
        <v>37</v>
      </c>
      <c r="B3" s="31">
        <v>0.0</v>
      </c>
      <c r="C3" s="31">
        <v>1.0</v>
      </c>
      <c r="D3" s="31">
        <v>2.0</v>
      </c>
      <c r="E3" s="31">
        <v>3.0</v>
      </c>
      <c r="F3" s="31">
        <v>4.0</v>
      </c>
      <c r="G3" s="31">
        <v>5.0</v>
      </c>
      <c r="H3" s="31" t="s">
        <v>43</v>
      </c>
      <c r="I3" s="32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31" t="s">
        <v>50</v>
      </c>
      <c r="B4" s="33">
        <v>2.72E7</v>
      </c>
      <c r="C4" s="33">
        <v>3000000.0</v>
      </c>
      <c r="D4" s="33">
        <v>3000000.0</v>
      </c>
      <c r="E4" s="33">
        <v>3500000.0</v>
      </c>
      <c r="F4" s="33">
        <v>4000000.0</v>
      </c>
      <c r="G4" s="33">
        <v>4500000.0</v>
      </c>
      <c r="H4" s="34"/>
      <c r="I4" s="32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31" t="s">
        <v>51</v>
      </c>
      <c r="B5" s="31">
        <f t="shared" ref="B5:G5" si="1">1/(1+$C$1)^B3</f>
        <v>1</v>
      </c>
      <c r="C5" s="31">
        <f t="shared" si="1"/>
        <v>0.9090909091</v>
      </c>
      <c r="D5" s="31">
        <f t="shared" si="1"/>
        <v>0.826446281</v>
      </c>
      <c r="E5" s="31">
        <f t="shared" si="1"/>
        <v>0.7513148009</v>
      </c>
      <c r="F5" s="31">
        <f t="shared" si="1"/>
        <v>0.6830134554</v>
      </c>
      <c r="G5" s="31">
        <f t="shared" si="1"/>
        <v>0.6209213231</v>
      </c>
      <c r="H5" s="34"/>
      <c r="I5" s="32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31" t="s">
        <v>52</v>
      </c>
      <c r="B6" s="33">
        <f t="shared" ref="B6:G6" si="2">B4*B5</f>
        <v>27200000</v>
      </c>
      <c r="C6" s="33">
        <f t="shared" si="2"/>
        <v>2727272.727</v>
      </c>
      <c r="D6" s="33">
        <f t="shared" si="2"/>
        <v>2479338.843</v>
      </c>
      <c r="E6" s="33">
        <f t="shared" si="2"/>
        <v>2629601.803</v>
      </c>
      <c r="F6" s="33">
        <f t="shared" si="2"/>
        <v>2732053.821</v>
      </c>
      <c r="G6" s="33">
        <f t="shared" si="2"/>
        <v>2794145.954</v>
      </c>
      <c r="H6" s="33">
        <f>SUM(B6:G6)</f>
        <v>40562413.15</v>
      </c>
      <c r="I6" s="32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34"/>
      <c r="B7" s="34"/>
      <c r="C7" s="34"/>
      <c r="D7" s="34"/>
      <c r="E7" s="34"/>
      <c r="F7" s="34"/>
      <c r="G7" s="34"/>
      <c r="H7" s="34"/>
      <c r="I7" s="32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1" t="s">
        <v>53</v>
      </c>
      <c r="B8" s="33">
        <v>0.0</v>
      </c>
      <c r="C8" s="33">
        <v>4.0E7</v>
      </c>
      <c r="D8" s="33">
        <v>4.5E7</v>
      </c>
      <c r="E8" s="33">
        <v>5.0E7</v>
      </c>
      <c r="F8" s="33">
        <v>5.5E7</v>
      </c>
      <c r="G8" s="33">
        <v>6.0E7</v>
      </c>
      <c r="H8" s="35"/>
      <c r="I8" s="32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31" t="s">
        <v>51</v>
      </c>
      <c r="B9" s="31">
        <f t="shared" ref="B9:G9" si="3">B5</f>
        <v>1</v>
      </c>
      <c r="C9" s="31">
        <f t="shared" si="3"/>
        <v>0.9090909091</v>
      </c>
      <c r="D9" s="31">
        <f t="shared" si="3"/>
        <v>0.826446281</v>
      </c>
      <c r="E9" s="31">
        <f t="shared" si="3"/>
        <v>0.7513148009</v>
      </c>
      <c r="F9" s="31">
        <f t="shared" si="3"/>
        <v>0.6830134554</v>
      </c>
      <c r="G9" s="31">
        <f t="shared" si="3"/>
        <v>0.6209213231</v>
      </c>
      <c r="H9" s="34"/>
      <c r="I9" s="32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36" t="s">
        <v>54</v>
      </c>
      <c r="B10" s="36">
        <f t="shared" ref="B10:G10" si="4">B8*B9</f>
        <v>0</v>
      </c>
      <c r="C10" s="36">
        <f t="shared" si="4"/>
        <v>36363636.36</v>
      </c>
      <c r="D10" s="36">
        <f t="shared" si="4"/>
        <v>37190082.64</v>
      </c>
      <c r="E10" s="36">
        <f t="shared" si="4"/>
        <v>37565740.05</v>
      </c>
      <c r="F10" s="36">
        <f t="shared" si="4"/>
        <v>37565740.05</v>
      </c>
      <c r="G10" s="36">
        <f t="shared" si="4"/>
        <v>37255279.38</v>
      </c>
      <c r="H10" s="36">
        <f>SUM(B10:G10)</f>
        <v>185940478.5</v>
      </c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</row>
    <row r="11">
      <c r="A11" s="34"/>
      <c r="B11" s="34"/>
      <c r="C11" s="34"/>
      <c r="D11" s="34"/>
      <c r="E11" s="34"/>
      <c r="F11" s="34"/>
      <c r="G11" s="34"/>
      <c r="H11" s="34"/>
      <c r="I11" s="32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1" t="s">
        <v>55</v>
      </c>
      <c r="B12" s="33">
        <f t="shared" ref="B12:G12" si="5">B10-B6</f>
        <v>-27200000</v>
      </c>
      <c r="C12" s="33">
        <f t="shared" si="5"/>
        <v>33636363.64</v>
      </c>
      <c r="D12" s="33">
        <f t="shared" si="5"/>
        <v>34710743.8</v>
      </c>
      <c r="E12" s="33">
        <f t="shared" si="5"/>
        <v>34936138.24</v>
      </c>
      <c r="F12" s="33">
        <f t="shared" si="5"/>
        <v>34833686.22</v>
      </c>
      <c r="G12" s="33">
        <f t="shared" si="5"/>
        <v>34461133.43</v>
      </c>
      <c r="H12" s="39" t="s">
        <v>56</v>
      </c>
      <c r="I12" s="40">
        <f>SUM(B12:G12)</f>
        <v>145378065.3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1" t="s">
        <v>57</v>
      </c>
      <c r="B13" s="33">
        <f>B12</f>
        <v>-27200000</v>
      </c>
      <c r="C13" s="33">
        <f t="shared" ref="C13:G13" si="6">B13+C12</f>
        <v>6436363.636</v>
      </c>
      <c r="D13" s="33">
        <f t="shared" si="6"/>
        <v>41147107.44</v>
      </c>
      <c r="E13" s="33">
        <f t="shared" si="6"/>
        <v>76083245.68</v>
      </c>
      <c r="F13" s="33">
        <f t="shared" si="6"/>
        <v>110916931.9</v>
      </c>
      <c r="G13" s="33">
        <f t="shared" si="6"/>
        <v>145378065.3</v>
      </c>
      <c r="H13" s="34"/>
      <c r="I13" s="32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39" t="s">
        <v>58</v>
      </c>
      <c r="B14" s="41"/>
      <c r="C14" s="41">
        <f>I12/H6</f>
        <v>3.584058591</v>
      </c>
      <c r="D14" s="34"/>
      <c r="E14" s="34"/>
      <c r="F14" s="34"/>
      <c r="G14" s="34"/>
      <c r="H14" s="34"/>
      <c r="I14" s="32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16"/>
      <c r="B15" s="42"/>
      <c r="C15" s="42" t="s">
        <v>59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</sheetData>
  <mergeCells count="1">
    <mergeCell ref="C15:E1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35.25"/>
    <col customWidth="1" min="3" max="3" width="37.63"/>
    <col customWidth="1" min="4" max="4" width="33.88"/>
    <col customWidth="1" min="5" max="5" width="36.13"/>
    <col customWidth="1" min="7" max="7" width="17.5"/>
  </cols>
  <sheetData>
    <row r="1" ht="22.5" customHeight="1">
      <c r="A1" s="18" t="s">
        <v>60</v>
      </c>
      <c r="B1" s="18" t="s">
        <v>61</v>
      </c>
      <c r="C1" s="18" t="s">
        <v>62</v>
      </c>
      <c r="D1" s="18" t="s">
        <v>63</v>
      </c>
      <c r="E1" s="18" t="s">
        <v>64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22.5" customHeight="1">
      <c r="A2" s="20" t="s">
        <v>65</v>
      </c>
      <c r="B2" s="21">
        <v>2.72E7</v>
      </c>
      <c r="C2" s="43">
        <v>0.0</v>
      </c>
      <c r="D2" s="21">
        <f>B2</f>
        <v>27200000</v>
      </c>
      <c r="E2" s="21">
        <v>0.0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22.5" customHeight="1">
      <c r="A3" s="20" t="s">
        <v>38</v>
      </c>
      <c r="B3" s="43">
        <v>2727273.0</v>
      </c>
      <c r="C3" s="43">
        <v>3.6363636E7</v>
      </c>
      <c r="D3" s="21">
        <f t="shared" ref="D3:E3" si="1">D2+B3</f>
        <v>29927273</v>
      </c>
      <c r="E3" s="21">
        <f t="shared" si="1"/>
        <v>36363636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22.5" customHeight="1">
      <c r="A4" s="20" t="s">
        <v>39</v>
      </c>
      <c r="B4" s="43">
        <v>2479339.0</v>
      </c>
      <c r="C4" s="43">
        <v>3.7190083E7</v>
      </c>
      <c r="D4" s="21">
        <f t="shared" ref="D4:E4" si="2">D3+B4</f>
        <v>32406612</v>
      </c>
      <c r="E4" s="21">
        <f t="shared" si="2"/>
        <v>73553719</v>
      </c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22.5" customHeight="1">
      <c r="A5" s="20" t="s">
        <v>40</v>
      </c>
      <c r="B5" s="43">
        <v>2629602.0</v>
      </c>
      <c r="C5" s="43">
        <v>3.756574E7</v>
      </c>
      <c r="D5" s="21">
        <f t="shared" ref="D5:E5" si="3">D4+B5</f>
        <v>35036214</v>
      </c>
      <c r="E5" s="21">
        <f t="shared" si="3"/>
        <v>111119459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22.5" customHeight="1">
      <c r="A6" s="20" t="s">
        <v>41</v>
      </c>
      <c r="B6" s="43">
        <v>2732054.0</v>
      </c>
      <c r="C6" s="43">
        <v>3.756574E7</v>
      </c>
      <c r="D6" s="21">
        <f t="shared" ref="D6:E6" si="4">D5+B6</f>
        <v>37768268</v>
      </c>
      <c r="E6" s="21">
        <f t="shared" si="4"/>
        <v>148685199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22.5" customHeight="1">
      <c r="A7" s="20" t="s">
        <v>42</v>
      </c>
      <c r="B7" s="43">
        <v>2794146.0</v>
      </c>
      <c r="C7" s="43">
        <v>3.7255279E7</v>
      </c>
      <c r="D7" s="21">
        <f t="shared" ref="D7:E7" si="5">D6+B7</f>
        <v>40562414</v>
      </c>
      <c r="E7" s="21">
        <f t="shared" si="5"/>
        <v>185940478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/>
      <c r="B8" s="16"/>
      <c r="C8" s="16"/>
      <c r="D8" s="16"/>
      <c r="E8" s="16"/>
      <c r="F8" s="16"/>
      <c r="G8" s="17"/>
      <c r="H8" s="17"/>
      <c r="I8" s="17"/>
      <c r="J8" s="17"/>
      <c r="K8" s="17"/>
      <c r="L8" s="17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/>
      <c r="C9" s="16"/>
      <c r="D9" s="16"/>
      <c r="E9" s="16"/>
      <c r="F9" s="16"/>
      <c r="G9" s="17"/>
      <c r="H9" s="44"/>
      <c r="I9" s="44"/>
      <c r="J9" s="44"/>
      <c r="K9" s="44"/>
      <c r="L9" s="44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/>
      <c r="C10" s="16"/>
      <c r="D10" s="16"/>
      <c r="E10" s="16"/>
      <c r="F10" s="16"/>
      <c r="G10" s="17"/>
      <c r="H10" s="17"/>
      <c r="I10" s="44"/>
      <c r="J10" s="44"/>
      <c r="K10" s="44"/>
      <c r="L10" s="44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</sheetData>
  <dataValidations>
    <dataValidation type="custom" allowBlank="1" showDropDown="1" sqref="C2:E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